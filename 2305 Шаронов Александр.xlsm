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2.xml" ContentType="application/vnd.openxmlformats-officedocument.drawingml.chart+xml"/>
  <Override PartName="/xl/charts/chart3.xml" ContentType="application/vnd.openxmlformats-officedocument.drawingml.chart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 defaultThemeVersion="124226"/>
  <bookViews>
    <workbookView xWindow="384" yWindow="60" windowWidth="16260" windowHeight="5856" activeTab="2"/>
  </bookViews>
  <sheets>
    <sheet name="Лист1" sheetId="1" r:id="rId1"/>
    <sheet name="Лист2" sheetId="2" r:id="rId2"/>
    <sheet name="Лист3" sheetId="4" r:id="rId3"/>
  </sheets>
  <calcPr calcId="125725"/>
</workbook>
</file>

<file path=xl/calcChain.xml><?xml version="1.0" encoding="utf-8"?>
<calcChain xmlns="http://schemas.openxmlformats.org/spreadsheetml/2006/main">
  <c r="H17" i="4"/>
  <c r="I17"/>
  <c r="J17"/>
  <c r="K17"/>
  <c r="L17"/>
  <c r="M17"/>
  <c r="N17"/>
  <c r="O17"/>
  <c r="P17"/>
  <c r="Q17"/>
  <c r="R17"/>
  <c r="S17"/>
  <c r="T17"/>
  <c r="U17"/>
  <c r="V17"/>
  <c r="W17"/>
  <c r="X17"/>
  <c r="Y17"/>
  <c r="Z17"/>
  <c r="AA17"/>
  <c r="AB17"/>
  <c r="AC17"/>
  <c r="AD17"/>
  <c r="AE17"/>
  <c r="AF17"/>
  <c r="AG17"/>
  <c r="AH17"/>
  <c r="AI17"/>
  <c r="AJ17"/>
  <c r="G17"/>
  <c r="F16"/>
  <c r="C4"/>
  <c r="AG16" s="1"/>
  <c r="H16" i="2"/>
  <c r="I16"/>
  <c r="G16"/>
  <c r="F16"/>
  <c r="C4"/>
  <c r="C5" s="1"/>
  <c r="H15" i="1"/>
  <c r="I15"/>
  <c r="J15"/>
  <c r="K15"/>
  <c r="L15"/>
  <c r="M15"/>
  <c r="N15"/>
  <c r="O15"/>
  <c r="P15"/>
  <c r="Q15"/>
  <c r="R15"/>
  <c r="S15"/>
  <c r="T15"/>
  <c r="U15"/>
  <c r="V15"/>
  <c r="W15"/>
  <c r="X15"/>
  <c r="Y15"/>
  <c r="Z15"/>
  <c r="AA15"/>
  <c r="AB15"/>
  <c r="AC15"/>
  <c r="AD15"/>
  <c r="AE15"/>
  <c r="AF15"/>
  <c r="AG15"/>
  <c r="AH15"/>
  <c r="AI15"/>
  <c r="G15"/>
  <c r="C5"/>
  <c r="C4"/>
  <c r="G12" s="1"/>
  <c r="H12" s="1"/>
  <c r="I12" s="1"/>
  <c r="J12" s="1"/>
  <c r="K12" s="1"/>
  <c r="L12" s="1"/>
  <c r="M12" s="1"/>
  <c r="N12" s="1"/>
  <c r="O12" s="1"/>
  <c r="P12" s="1"/>
  <c r="Q12" s="1"/>
  <c r="R12" s="1"/>
  <c r="S12" s="1"/>
  <c r="T12" s="1"/>
  <c r="U12" s="1"/>
  <c r="V12" s="1"/>
  <c r="W12" s="1"/>
  <c r="X12" s="1"/>
  <c r="Y12" s="1"/>
  <c r="Z12" s="1"/>
  <c r="AA12" s="1"/>
  <c r="AB12" s="1"/>
  <c r="AC12" s="1"/>
  <c r="AD12" s="1"/>
  <c r="AE12" s="1"/>
  <c r="AF12" s="1"/>
  <c r="AG12" s="1"/>
  <c r="AH12" s="1"/>
  <c r="AI12" s="1"/>
  <c r="AJ12" s="1"/>
  <c r="L16" i="4" l="1"/>
  <c r="T16"/>
  <c r="AF16"/>
  <c r="K16"/>
  <c r="S16"/>
  <c r="W16"/>
  <c r="AA16"/>
  <c r="AI16"/>
  <c r="G12"/>
  <c r="H12" s="1"/>
  <c r="I12" s="1"/>
  <c r="J12" s="1"/>
  <c r="K12" s="1"/>
  <c r="L12" s="1"/>
  <c r="M12" s="1"/>
  <c r="N12" s="1"/>
  <c r="O12" s="1"/>
  <c r="P12" s="1"/>
  <c r="Q12" s="1"/>
  <c r="R12" s="1"/>
  <c r="S12" s="1"/>
  <c r="T12" s="1"/>
  <c r="U12" s="1"/>
  <c r="V12" s="1"/>
  <c r="W12" s="1"/>
  <c r="X12" s="1"/>
  <c r="Y12" s="1"/>
  <c r="Z12" s="1"/>
  <c r="AA12" s="1"/>
  <c r="AB12" s="1"/>
  <c r="AC12" s="1"/>
  <c r="AD12" s="1"/>
  <c r="AE12" s="1"/>
  <c r="AF12" s="1"/>
  <c r="AG12" s="1"/>
  <c r="AH12" s="1"/>
  <c r="AI12" s="1"/>
  <c r="AJ12" s="1"/>
  <c r="J16"/>
  <c r="N16"/>
  <c r="R16"/>
  <c r="V16"/>
  <c r="Z16"/>
  <c r="AD16"/>
  <c r="AH16"/>
  <c r="G16"/>
  <c r="H16"/>
  <c r="P16"/>
  <c r="X16"/>
  <c r="AB16"/>
  <c r="AJ16"/>
  <c r="O16"/>
  <c r="AE16"/>
  <c r="C5"/>
  <c r="I16"/>
  <c r="M16"/>
  <c r="Q16"/>
  <c r="U16"/>
  <c r="Y16"/>
  <c r="AC16"/>
  <c r="G12" i="2"/>
  <c r="H12" s="1"/>
  <c r="I12" s="1"/>
  <c r="J12" s="1"/>
  <c r="K12" s="1"/>
  <c r="L12" s="1"/>
  <c r="M12" s="1"/>
  <c r="N12" s="1"/>
  <c r="O12" s="1"/>
  <c r="P12" s="1"/>
  <c r="Q12" s="1"/>
  <c r="R12" s="1"/>
  <c r="S12" s="1"/>
  <c r="T12" s="1"/>
  <c r="U12" s="1"/>
  <c r="V12" s="1"/>
  <c r="W12" s="1"/>
  <c r="X12" s="1"/>
  <c r="Y12" s="1"/>
  <c r="Z12" s="1"/>
  <c r="AA12" s="1"/>
  <c r="AB12" s="1"/>
  <c r="AC12" s="1"/>
  <c r="AD12" s="1"/>
  <c r="AE12" s="1"/>
  <c r="AF12" s="1"/>
  <c r="AG12" s="1"/>
  <c r="AH12" s="1"/>
  <c r="AI12" s="1"/>
  <c r="AJ12" s="1"/>
  <c r="L15"/>
  <c r="T15"/>
  <c r="AE15"/>
  <c r="AI15"/>
  <c r="AE16"/>
  <c r="V15"/>
  <c r="N15"/>
  <c r="AD15"/>
  <c r="I15"/>
  <c r="AC15"/>
  <c r="M15"/>
  <c r="U15"/>
  <c r="H15"/>
  <c r="X15"/>
  <c r="P15"/>
  <c r="P16"/>
  <c r="AF16"/>
  <c r="AF15"/>
  <c r="O15"/>
  <c r="O16"/>
  <c r="Z15"/>
  <c r="Q15"/>
  <c r="Y15"/>
  <c r="X16"/>
  <c r="T16"/>
  <c r="K15"/>
  <c r="K16"/>
  <c r="S15"/>
  <c r="V16"/>
  <c r="G15"/>
  <c r="F13"/>
  <c r="U16"/>
  <c r="AB15"/>
  <c r="AB16"/>
  <c r="W15"/>
  <c r="W16"/>
  <c r="AA15"/>
  <c r="AA16"/>
  <c r="J15"/>
  <c r="J16"/>
  <c r="R15"/>
  <c r="AH15"/>
  <c r="R16"/>
  <c r="Z16"/>
  <c r="AH16"/>
  <c r="Q16"/>
  <c r="Y16"/>
  <c r="S16"/>
  <c r="AI16"/>
  <c r="AG16"/>
  <c r="AG15"/>
  <c r="L16"/>
  <c r="AJ16"/>
  <c r="N16"/>
  <c r="AD16"/>
  <c r="M16"/>
  <c r="AC16"/>
  <c r="AI15" i="4" l="1"/>
  <c r="AE15"/>
  <c r="AA15"/>
  <c r="W15"/>
  <c r="S15"/>
  <c r="O15"/>
  <c r="K15"/>
  <c r="G15"/>
  <c r="Y15"/>
  <c r="M15"/>
  <c r="AD15"/>
  <c r="V15"/>
  <c r="N15"/>
  <c r="AF15"/>
  <c r="AB15"/>
  <c r="X15"/>
  <c r="T15"/>
  <c r="P15"/>
  <c r="L15"/>
  <c r="H15"/>
  <c r="AG15"/>
  <c r="AC15"/>
  <c r="U15"/>
  <c r="Q15"/>
  <c r="I15"/>
  <c r="AH15"/>
  <c r="Z15"/>
  <c r="R15"/>
  <c r="J15"/>
</calcChain>
</file>

<file path=xl/sharedStrings.xml><?xml version="1.0" encoding="utf-8"?>
<sst xmlns="http://schemas.openxmlformats.org/spreadsheetml/2006/main" count="42" uniqueCount="16">
  <si>
    <t>L</t>
  </si>
  <si>
    <t>dx</t>
  </si>
  <si>
    <t>dt</t>
  </si>
  <si>
    <t>t</t>
  </si>
  <si>
    <t>Cp</t>
  </si>
  <si>
    <t>ro</t>
  </si>
  <si>
    <t>lamda</t>
  </si>
  <si>
    <t>T</t>
  </si>
  <si>
    <t>tstart</t>
  </si>
  <si>
    <t>tend</t>
  </si>
  <si>
    <t>Ti</t>
  </si>
  <si>
    <t>q_start</t>
  </si>
  <si>
    <t>q</t>
  </si>
  <si>
    <t xml:space="preserve"> </t>
  </si>
  <si>
    <t>a</t>
  </si>
  <si>
    <t>а</t>
  </si>
</sst>
</file>

<file path=xl/styles.xml><?xml version="1.0" encoding="utf-8"?>
<styleSheet xmlns="http://schemas.openxmlformats.org/spreadsheetml/2006/main">
  <numFmts count="2">
    <numFmt numFmtId="164" formatCode="0.000"/>
    <numFmt numFmtId="165" formatCode="0.0000"/>
  </numFmts>
  <fonts count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165" fontId="0" fillId="0" borderId="0" xfId="0" applyNumberFormat="1"/>
    <xf numFmtId="0" fontId="0" fillId="0" borderId="1" xfId="0" applyBorder="1"/>
    <xf numFmtId="164" fontId="0" fillId="0" borderId="1" xfId="0" applyNumberFormat="1" applyBorder="1"/>
    <xf numFmtId="165" fontId="0" fillId="0" borderId="1" xfId="0" applyNumberFormat="1" applyBorder="1"/>
    <xf numFmtId="1" fontId="0" fillId="0" borderId="1" xfId="0" applyNumberFormat="1" applyBorder="1"/>
    <xf numFmtId="1" fontId="0" fillId="0" borderId="0" xfId="0" applyNumberFormat="1"/>
    <xf numFmtId="0" fontId="0" fillId="0" borderId="1" xfId="0" applyFill="1" applyBorder="1"/>
  </cellXfs>
  <cellStyles count="1">
    <cellStyle name="Обычный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plotArea>
      <c:layout/>
      <c:lineChart>
        <c:grouping val="standard"/>
        <c:ser>
          <c:idx val="0"/>
          <c:order val="0"/>
          <c:marker>
            <c:symbol val="none"/>
          </c:marker>
          <c:val>
            <c:numRef>
              <c:f>Лист1!$F$12:$AJ$12</c:f>
              <c:numCache>
                <c:formatCode>0.000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val>
        </c:ser>
        <c:ser>
          <c:idx val="1"/>
          <c:order val="1"/>
          <c:marker>
            <c:symbol val="none"/>
          </c:marker>
          <c:val>
            <c:numRef>
              <c:f>Лист1!$F$13:$AJ$13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280.50947535568343</c:v>
                </c:pt>
                <c:pt idx="2">
                  <c:v>261.34019768006675</c:v>
                </c:pt>
                <c:pt idx="3">
                  <c:v>242.17092000445004</c:v>
                </c:pt>
                <c:pt idx="4">
                  <c:v>223.94348784691761</c:v>
                </c:pt>
                <c:pt idx="5">
                  <c:v>205.71605568938512</c:v>
                </c:pt>
                <c:pt idx="6">
                  <c:v>188.98798976713792</c:v>
                </c:pt>
                <c:pt idx="7">
                  <c:v>172.25992384489069</c:v>
                </c:pt>
                <c:pt idx="8">
                  <c:v>157.4917970899659</c:v>
                </c:pt>
                <c:pt idx="9">
                  <c:v>142.72367033504111</c:v>
                </c:pt>
                <c:pt idx="10">
                  <c:v>130.25585219566563</c:v>
                </c:pt>
                <c:pt idx="11">
                  <c:v>117.78803405629017</c:v>
                </c:pt>
                <c:pt idx="12">
                  <c:v>107.82942130675656</c:v>
                </c:pt>
                <c:pt idx="13">
                  <c:v>97.870808557222944</c:v>
                </c:pt>
                <c:pt idx="14">
                  <c:v>90.498936030544343</c:v>
                </c:pt>
                <c:pt idx="15">
                  <c:v>83.127063503865742</c:v>
                </c:pt>
                <c:pt idx="16">
                  <c:v>78.297409442647279</c:v>
                </c:pt>
                <c:pt idx="17">
                  <c:v>73.467755381428844</c:v>
                </c:pt>
                <c:pt idx="18">
                  <c:v>71.029173463903746</c:v>
                </c:pt>
                <c:pt idx="19">
                  <c:v>68.590591546378676</c:v>
                </c:pt>
                <c:pt idx="20">
                  <c:v>68.30369074500706</c:v>
                </c:pt>
                <c:pt idx="21">
                  <c:v>68.016789943635459</c:v>
                </c:pt>
                <c:pt idx="22">
                  <c:v>69.572608509723267</c:v>
                </c:pt>
                <c:pt idx="23">
                  <c:v>71.128427075811075</c:v>
                </c:pt>
                <c:pt idx="24">
                  <c:v>74.165635391039984</c:v>
                </c:pt>
                <c:pt idx="25">
                  <c:v>77.202843706268908</c:v>
                </c:pt>
                <c:pt idx="26">
                  <c:v>81.322660058722235</c:v>
                </c:pt>
                <c:pt idx="27">
                  <c:v>85.442476411175562</c:v>
                </c:pt>
                <c:pt idx="28">
                  <c:v>90.221256942685855</c:v>
                </c:pt>
                <c:pt idx="29">
                  <c:v>95.000037474196134</c:v>
                </c:pt>
                <c:pt idx="30">
                  <c:v>100</c:v>
                </c:pt>
              </c:numCache>
            </c:numRef>
          </c:val>
        </c:ser>
        <c:marker val="1"/>
        <c:axId val="162095488"/>
        <c:axId val="162097024"/>
      </c:lineChart>
      <c:catAx>
        <c:axId val="162095488"/>
        <c:scaling>
          <c:orientation val="minMax"/>
        </c:scaling>
        <c:axPos val="b"/>
        <c:tickLblPos val="nextTo"/>
        <c:crossAx val="162097024"/>
        <c:crosses val="autoZero"/>
        <c:auto val="1"/>
        <c:lblAlgn val="ctr"/>
        <c:lblOffset val="100"/>
      </c:catAx>
      <c:valAx>
        <c:axId val="162097024"/>
        <c:scaling>
          <c:orientation val="minMax"/>
        </c:scaling>
        <c:axPos val="l"/>
        <c:majorGridlines/>
        <c:numFmt formatCode="0.000" sourceLinked="1"/>
        <c:tickLblPos val="nextTo"/>
        <c:crossAx val="16209548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style val="4"/>
  <c:chart>
    <c:plotArea>
      <c:layout>
        <c:manualLayout>
          <c:layoutTarget val="inner"/>
          <c:xMode val="edge"/>
          <c:yMode val="edge"/>
          <c:x val="0.13544663167104123"/>
          <c:y val="7.4548702245552642E-2"/>
          <c:w val="0.66207524059492584"/>
          <c:h val="0.8326195683872849"/>
        </c:manualLayout>
      </c:layout>
      <c:lineChart>
        <c:grouping val="standard"/>
        <c:ser>
          <c:idx val="0"/>
          <c:order val="0"/>
          <c:marker>
            <c:symbol val="none"/>
          </c:marker>
          <c:val>
            <c:numRef>
              <c:f>Лист2!$F$13:$AJ$13</c:f>
              <c:numCache>
                <c:formatCode>General</c:formatCode>
                <c:ptCount val="31"/>
                <c:pt idx="0" formatCode="0.0000">
                  <c:v>299.99997763108735</c:v>
                </c:pt>
                <c:pt idx="1">
                  <c:v>293.33331096442066</c:v>
                </c:pt>
                <c:pt idx="2">
                  <c:v>286.6666443611611</c:v>
                </c:pt>
                <c:pt idx="3">
                  <c:v>279.99997782112894</c:v>
                </c:pt>
                <c:pt idx="4">
                  <c:v>273.33331134396514</c:v>
                </c:pt>
                <c:pt idx="5">
                  <c:v>266.66664492913264</c:v>
                </c:pt>
                <c:pt idx="6">
                  <c:v>259.99997857591751</c:v>
                </c:pt>
                <c:pt idx="7">
                  <c:v>253.3333122834313</c:v>
                </c:pt>
                <c:pt idx="8">
                  <c:v>246.66664605061328</c:v>
                </c:pt>
                <c:pt idx="9">
                  <c:v>239.99997987623377</c:v>
                </c:pt>
                <c:pt idx="10">
                  <c:v>233.33331375889719</c:v>
                </c:pt>
                <c:pt idx="11">
                  <c:v>226.66664769704656</c:v>
                </c:pt>
                <c:pt idx="12">
                  <c:v>219.9999816889673</c:v>
                </c:pt>
                <c:pt idx="13">
                  <c:v>213.33331573279273</c:v>
                </c:pt>
                <c:pt idx="14">
                  <c:v>206.66664982650872</c:v>
                </c:pt>
                <c:pt idx="15">
                  <c:v>199.99998396796005</c:v>
                </c:pt>
                <c:pt idx="16">
                  <c:v>193.33331815485587</c:v>
                </c:pt>
                <c:pt idx="17">
                  <c:v>186.6666523847768</c:v>
                </c:pt>
                <c:pt idx="18">
                  <c:v>179.99998665518126</c:v>
                </c:pt>
                <c:pt idx="19">
                  <c:v>173.33332096341309</c:v>
                </c:pt>
                <c:pt idx="20">
                  <c:v>166.66665530670878</c:v>
                </c:pt>
                <c:pt idx="21">
                  <c:v>159.9999896822055</c:v>
                </c:pt>
                <c:pt idx="22">
                  <c:v>153.33332408694912</c:v>
                </c:pt>
                <c:pt idx="23">
                  <c:v>146.66665851790265</c:v>
                </c:pt>
                <c:pt idx="24">
                  <c:v>139.99999297195473</c:v>
                </c:pt>
                <c:pt idx="25">
                  <c:v>133.33332744592857</c:v>
                </c:pt>
                <c:pt idx="26">
                  <c:v>126.66666193659087</c:v>
                </c:pt>
                <c:pt idx="27">
                  <c:v>119.99999644066111</c:v>
                </c:pt>
                <c:pt idx="28">
                  <c:v>113.3333309548207</c:v>
                </c:pt>
                <c:pt idx="29">
                  <c:v>106.66666547572241</c:v>
                </c:pt>
                <c:pt idx="30">
                  <c:v>100</c:v>
                </c:pt>
              </c:numCache>
            </c:numRef>
          </c:val>
        </c:ser>
        <c:marker val="1"/>
        <c:axId val="162248192"/>
        <c:axId val="162249728"/>
      </c:lineChart>
      <c:catAx>
        <c:axId val="162248192"/>
        <c:scaling>
          <c:orientation val="minMax"/>
        </c:scaling>
        <c:axPos val="b"/>
        <c:tickLblPos val="nextTo"/>
        <c:crossAx val="162249728"/>
        <c:crosses val="autoZero"/>
        <c:auto val="1"/>
        <c:lblAlgn val="ctr"/>
        <c:lblOffset val="100"/>
      </c:catAx>
      <c:valAx>
        <c:axId val="162249728"/>
        <c:scaling>
          <c:orientation val="minMax"/>
        </c:scaling>
        <c:axPos val="l"/>
        <c:majorGridlines/>
        <c:numFmt formatCode="0.0000" sourceLinked="1"/>
        <c:tickLblPos val="nextTo"/>
        <c:crossAx val="16224819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plotArea>
      <c:layout/>
      <c:lineChart>
        <c:grouping val="standard"/>
        <c:ser>
          <c:idx val="0"/>
          <c:order val="0"/>
          <c:marker>
            <c:symbol val="none"/>
          </c:marker>
          <c:val>
            <c:numRef>
              <c:f>Лист3!$F$13:$AJ$13</c:f>
              <c:numCache>
                <c:formatCode>General</c:formatCode>
                <c:ptCount val="31"/>
                <c:pt idx="0" formatCode="0.0000">
                  <c:v>300</c:v>
                </c:pt>
                <c:pt idx="1">
                  <c:v>293.33333332795451</c:v>
                </c:pt>
                <c:pt idx="2">
                  <c:v>286.66666665590907</c:v>
                </c:pt>
                <c:pt idx="3">
                  <c:v>279.99999998409874</c:v>
                </c:pt>
                <c:pt idx="4">
                  <c:v>273.33333331228835</c:v>
                </c:pt>
                <c:pt idx="5">
                  <c:v>266.66666664093788</c:v>
                </c:pt>
                <c:pt idx="6">
                  <c:v>259.99999996958741</c:v>
                </c:pt>
                <c:pt idx="7">
                  <c:v>253.33333329890152</c:v>
                </c:pt>
                <c:pt idx="8">
                  <c:v>246.66666662821564</c:v>
                </c:pt>
                <c:pt idx="9">
                  <c:v>239.99999995836998</c:v>
                </c:pt>
                <c:pt idx="10">
                  <c:v>233.33333328852433</c:v>
                </c:pt>
                <c:pt idx="11">
                  <c:v>226.66666661965786</c:v>
                </c:pt>
                <c:pt idx="12">
                  <c:v>219.99999995079142</c:v>
                </c:pt>
                <c:pt idx="13">
                  <c:v>213.33333328300029</c:v>
                </c:pt>
                <c:pt idx="14">
                  <c:v>206.66666661520912</c:v>
                </c:pt>
                <c:pt idx="15">
                  <c:v>199.99999994854244</c:v>
                </c:pt>
                <c:pt idx="16">
                  <c:v>193.33333328187578</c:v>
                </c:pt>
                <c:pt idx="17">
                  <c:v>186.6666666163336</c:v>
                </c:pt>
                <c:pt idx="18">
                  <c:v>179.99999995079139</c:v>
                </c:pt>
                <c:pt idx="19">
                  <c:v>173.33333328632452</c:v>
                </c:pt>
                <c:pt idx="20">
                  <c:v>166.66666662185764</c:v>
                </c:pt>
                <c:pt idx="21">
                  <c:v>159.99999995836998</c:v>
                </c:pt>
                <c:pt idx="22">
                  <c:v>153.33333329488229</c:v>
                </c:pt>
                <c:pt idx="23">
                  <c:v>146.66666663223486</c:v>
                </c:pt>
                <c:pt idx="24">
                  <c:v>139.99999996958741</c:v>
                </c:pt>
                <c:pt idx="25">
                  <c:v>133.33333330760456</c:v>
                </c:pt>
                <c:pt idx="26">
                  <c:v>126.66666664562172</c:v>
                </c:pt>
                <c:pt idx="27">
                  <c:v>119.99999998409875</c:v>
                </c:pt>
                <c:pt idx="28">
                  <c:v>113.33333332257578</c:v>
                </c:pt>
                <c:pt idx="29">
                  <c:v>106.66666666128789</c:v>
                </c:pt>
                <c:pt idx="30">
                  <c:v>100</c:v>
                </c:pt>
              </c:numCache>
            </c:numRef>
          </c:val>
        </c:ser>
        <c:marker val="1"/>
        <c:axId val="106526592"/>
        <c:axId val="106528128"/>
      </c:lineChart>
      <c:catAx>
        <c:axId val="106526592"/>
        <c:scaling>
          <c:orientation val="minMax"/>
        </c:scaling>
        <c:axPos val="b"/>
        <c:tickLblPos val="nextTo"/>
        <c:crossAx val="106528128"/>
        <c:crosses val="autoZero"/>
        <c:auto val="1"/>
        <c:lblAlgn val="ctr"/>
        <c:lblOffset val="100"/>
      </c:catAx>
      <c:valAx>
        <c:axId val="106528128"/>
        <c:scaling>
          <c:orientation val="minMax"/>
        </c:scaling>
        <c:axPos val="l"/>
        <c:majorGridlines/>
        <c:numFmt formatCode="0.0000" sourceLinked="1"/>
        <c:tickLblPos val="nextTo"/>
        <c:crossAx val="10652659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438150</xdr:colOff>
      <xdr:row>17</xdr:row>
      <xdr:rowOff>85724</xdr:rowOff>
    </xdr:from>
    <xdr:to>
      <xdr:col>14</xdr:col>
      <xdr:colOff>228600</xdr:colOff>
      <xdr:row>33</xdr:row>
      <xdr:rowOff>76199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17</xdr:row>
      <xdr:rowOff>19050</xdr:rowOff>
    </xdr:from>
    <xdr:to>
      <xdr:col>11</xdr:col>
      <xdr:colOff>133350</xdr:colOff>
      <xdr:row>32</xdr:row>
      <xdr:rowOff>47625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18</xdr:row>
      <xdr:rowOff>-1</xdr:rowOff>
    </xdr:from>
    <xdr:to>
      <xdr:col>12</xdr:col>
      <xdr:colOff>272143</xdr:colOff>
      <xdr:row>32</xdr:row>
      <xdr:rowOff>10885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B3:AJ15"/>
  <sheetViews>
    <sheetView zoomScale="80" zoomScaleNormal="80" workbookViewId="0">
      <selection activeCell="F14" sqref="F14"/>
    </sheetView>
  </sheetViews>
  <sheetFormatPr defaultRowHeight="14.4"/>
  <cols>
    <col min="3" max="3" width="9.44140625" bestFit="1" customWidth="1"/>
    <col min="6" max="36" width="5.44140625" bestFit="1" customWidth="1"/>
  </cols>
  <sheetData>
    <row r="3" spans="2:36">
      <c r="B3" s="2" t="s">
        <v>0</v>
      </c>
      <c r="C3" s="4">
        <v>0.1</v>
      </c>
    </row>
    <row r="4" spans="2:36">
      <c r="B4" s="2" t="s">
        <v>1</v>
      </c>
      <c r="C4" s="4">
        <f>C3/30</f>
        <v>3.3333333333333335E-3</v>
      </c>
    </row>
    <row r="5" spans="2:36">
      <c r="B5" s="2" t="s">
        <v>2</v>
      </c>
      <c r="C5" s="4">
        <f>(C9*C8*(C4^2))/(2*C10)</f>
        <v>0.4333333333333334</v>
      </c>
    </row>
    <row r="6" spans="2:36">
      <c r="B6" s="2" t="s">
        <v>3</v>
      </c>
      <c r="C6" s="4">
        <v>60</v>
      </c>
      <c r="D6">
        <v>60.233333333333341</v>
      </c>
    </row>
    <row r="7" spans="2:36">
      <c r="C7" s="1"/>
    </row>
    <row r="8" spans="2:36">
      <c r="B8" s="2" t="s">
        <v>4</v>
      </c>
      <c r="C8" s="5">
        <v>460</v>
      </c>
    </row>
    <row r="9" spans="2:36">
      <c r="B9" s="2" t="s">
        <v>5</v>
      </c>
      <c r="C9" s="5">
        <v>7800</v>
      </c>
    </row>
    <row r="10" spans="2:36">
      <c r="B10" s="2" t="s">
        <v>6</v>
      </c>
      <c r="C10" s="5">
        <v>46</v>
      </c>
    </row>
    <row r="11" spans="2:36">
      <c r="C11" s="1"/>
      <c r="F11" s="2">
        <v>1</v>
      </c>
      <c r="G11" s="2">
        <v>2</v>
      </c>
      <c r="H11" s="2">
        <v>3</v>
      </c>
      <c r="I11" s="2">
        <v>4</v>
      </c>
      <c r="J11" s="2">
        <v>5</v>
      </c>
      <c r="K11" s="2">
        <v>6</v>
      </c>
      <c r="L11" s="2">
        <v>7</v>
      </c>
      <c r="M11" s="2">
        <v>8</v>
      </c>
      <c r="N11" s="2">
        <v>9</v>
      </c>
      <c r="O11" s="2">
        <v>10</v>
      </c>
      <c r="P11" s="2">
        <v>11</v>
      </c>
      <c r="Q11" s="2">
        <v>12</v>
      </c>
      <c r="R11" s="2">
        <v>13</v>
      </c>
      <c r="S11" s="2">
        <v>14</v>
      </c>
      <c r="T11" s="2">
        <v>15</v>
      </c>
      <c r="U11" s="2">
        <v>16</v>
      </c>
      <c r="V11" s="2">
        <v>17</v>
      </c>
      <c r="W11" s="2">
        <v>18</v>
      </c>
      <c r="X11" s="2">
        <v>19</v>
      </c>
      <c r="Y11" s="2">
        <v>20</v>
      </c>
      <c r="Z11" s="2">
        <v>21</v>
      </c>
      <c r="AA11" s="2">
        <v>22</v>
      </c>
      <c r="AB11" s="2">
        <v>23</v>
      </c>
      <c r="AC11" s="2">
        <v>24</v>
      </c>
      <c r="AD11" s="2">
        <v>25</v>
      </c>
      <c r="AE11" s="2">
        <v>26</v>
      </c>
      <c r="AF11" s="2">
        <v>27</v>
      </c>
      <c r="AG11" s="2">
        <v>28</v>
      </c>
      <c r="AH11" s="2">
        <v>29</v>
      </c>
      <c r="AI11" s="2">
        <v>30</v>
      </c>
      <c r="AJ11" s="2">
        <v>31</v>
      </c>
    </row>
    <row r="12" spans="2:36">
      <c r="B12" s="2" t="s">
        <v>8</v>
      </c>
      <c r="C12" s="4">
        <v>300</v>
      </c>
      <c r="E12" t="s">
        <v>0</v>
      </c>
      <c r="F12" s="3">
        <v>0</v>
      </c>
      <c r="G12" s="3">
        <f>F12+$C$4</f>
        <v>3.3333333333333335E-3</v>
      </c>
      <c r="H12" s="3">
        <f t="shared" ref="H12:AJ12" si="0">G12+$C$4</f>
        <v>6.6666666666666671E-3</v>
      </c>
      <c r="I12" s="3">
        <f t="shared" si="0"/>
        <v>0.01</v>
      </c>
      <c r="J12" s="3">
        <f t="shared" si="0"/>
        <v>1.3333333333333334E-2</v>
      </c>
      <c r="K12" s="3">
        <f t="shared" si="0"/>
        <v>1.6666666666666666E-2</v>
      </c>
      <c r="L12" s="3">
        <f t="shared" si="0"/>
        <v>0.02</v>
      </c>
      <c r="M12" s="3">
        <f t="shared" si="0"/>
        <v>2.3333333333333334E-2</v>
      </c>
      <c r="N12" s="3">
        <f t="shared" si="0"/>
        <v>2.6666666666666668E-2</v>
      </c>
      <c r="O12" s="3">
        <f t="shared" si="0"/>
        <v>3.0000000000000002E-2</v>
      </c>
      <c r="P12" s="3">
        <f t="shared" si="0"/>
        <v>3.3333333333333333E-2</v>
      </c>
      <c r="Q12" s="3">
        <f t="shared" si="0"/>
        <v>3.6666666666666667E-2</v>
      </c>
      <c r="R12" s="3">
        <f t="shared" si="0"/>
        <v>0.04</v>
      </c>
      <c r="S12" s="3">
        <f t="shared" si="0"/>
        <v>4.3333333333333335E-2</v>
      </c>
      <c r="T12" s="3">
        <f t="shared" si="0"/>
        <v>4.6666666666666669E-2</v>
      </c>
      <c r="U12" s="3">
        <f t="shared" si="0"/>
        <v>0.05</v>
      </c>
      <c r="V12" s="3">
        <f t="shared" si="0"/>
        <v>5.3333333333333337E-2</v>
      </c>
      <c r="W12" s="3">
        <f t="shared" si="0"/>
        <v>5.6666666666666671E-2</v>
      </c>
      <c r="X12" s="3">
        <f t="shared" si="0"/>
        <v>6.0000000000000005E-2</v>
      </c>
      <c r="Y12" s="3">
        <f t="shared" si="0"/>
        <v>6.3333333333333339E-2</v>
      </c>
      <c r="Z12" s="3">
        <f t="shared" si="0"/>
        <v>6.6666666666666666E-2</v>
      </c>
      <c r="AA12" s="3">
        <f t="shared" si="0"/>
        <v>6.9999999999999993E-2</v>
      </c>
      <c r="AB12" s="3">
        <f t="shared" si="0"/>
        <v>7.333333333333332E-2</v>
      </c>
      <c r="AC12" s="3">
        <f t="shared" si="0"/>
        <v>7.6666666666666647E-2</v>
      </c>
      <c r="AD12" s="3">
        <f t="shared" si="0"/>
        <v>7.9999999999999974E-2</v>
      </c>
      <c r="AE12" s="3">
        <f t="shared" si="0"/>
        <v>8.3333333333333301E-2</v>
      </c>
      <c r="AF12" s="3">
        <f t="shared" si="0"/>
        <v>8.6666666666666628E-2</v>
      </c>
      <c r="AG12" s="3">
        <f t="shared" si="0"/>
        <v>8.9999999999999955E-2</v>
      </c>
      <c r="AH12" s="3">
        <f t="shared" si="0"/>
        <v>9.3333333333333282E-2</v>
      </c>
      <c r="AI12" s="3">
        <f t="shared" si="0"/>
        <v>9.6666666666666609E-2</v>
      </c>
      <c r="AJ12" s="3">
        <f t="shared" si="0"/>
        <v>9.9999999999999936E-2</v>
      </c>
    </row>
    <row r="13" spans="2:36">
      <c r="B13" s="2" t="s">
        <v>9</v>
      </c>
      <c r="C13" s="4">
        <v>100</v>
      </c>
      <c r="E13" t="s">
        <v>7</v>
      </c>
      <c r="F13">
        <v>300</v>
      </c>
      <c r="G13">
        <v>280.50947535568343</v>
      </c>
      <c r="H13">
        <v>261.34019768006675</v>
      </c>
      <c r="I13">
        <v>242.17092000445004</v>
      </c>
      <c r="J13">
        <v>223.94348784691761</v>
      </c>
      <c r="K13">
        <v>205.71605568938512</v>
      </c>
      <c r="L13">
        <v>188.98798976713792</v>
      </c>
      <c r="M13">
        <v>172.25992384489069</v>
      </c>
      <c r="N13">
        <v>157.4917970899659</v>
      </c>
      <c r="O13">
        <v>142.72367033504111</v>
      </c>
      <c r="P13">
        <v>130.25585219566563</v>
      </c>
      <c r="Q13">
        <v>117.78803405629017</v>
      </c>
      <c r="R13">
        <v>107.82942130675656</v>
      </c>
      <c r="S13">
        <v>97.870808557222944</v>
      </c>
      <c r="T13">
        <v>90.498936030544343</v>
      </c>
      <c r="U13">
        <v>83.127063503865742</v>
      </c>
      <c r="V13">
        <v>78.297409442647279</v>
      </c>
      <c r="W13">
        <v>73.467755381428844</v>
      </c>
      <c r="X13">
        <v>71.029173463903746</v>
      </c>
      <c r="Y13">
        <v>68.590591546378676</v>
      </c>
      <c r="Z13">
        <v>68.30369074500706</v>
      </c>
      <c r="AA13">
        <v>68.016789943635459</v>
      </c>
      <c r="AB13">
        <v>69.572608509723267</v>
      </c>
      <c r="AC13">
        <v>71.128427075811075</v>
      </c>
      <c r="AD13">
        <v>74.165635391039984</v>
      </c>
      <c r="AE13">
        <v>77.202843706268908</v>
      </c>
      <c r="AF13">
        <v>81.322660058722235</v>
      </c>
      <c r="AG13">
        <v>85.442476411175562</v>
      </c>
      <c r="AH13">
        <v>90.221256942685855</v>
      </c>
      <c r="AI13">
        <v>95.000037474196134</v>
      </c>
      <c r="AJ13">
        <v>100</v>
      </c>
    </row>
    <row r="15" spans="2:36">
      <c r="E15" t="s">
        <v>10</v>
      </c>
      <c r="G15">
        <f>G13+(($C$10*$C$5)/($C$9*$C$8))*((H13-2*G13+F13)/($C$4^2))</f>
        <v>280.67009884003335</v>
      </c>
      <c r="H15">
        <f t="shared" ref="H15:AI15" si="1">H13+(($C$10*$C$5)/($C$9*$C$8))*((I13-2*H13+G13)/($C$4^2))</f>
        <v>261.34019768006675</v>
      </c>
      <c r="I15">
        <f t="shared" si="1"/>
        <v>242.64184276349218</v>
      </c>
      <c r="J15">
        <f t="shared" si="1"/>
        <v>223.94348784691758</v>
      </c>
      <c r="K15">
        <f t="shared" si="1"/>
        <v>206.46573880702778</v>
      </c>
      <c r="L15">
        <f t="shared" si="1"/>
        <v>188.98798976713789</v>
      </c>
      <c r="M15">
        <f t="shared" si="1"/>
        <v>173.23989342855191</v>
      </c>
      <c r="N15">
        <f t="shared" si="1"/>
        <v>157.4917970899659</v>
      </c>
      <c r="O15">
        <f t="shared" si="1"/>
        <v>143.87382464281575</v>
      </c>
      <c r="P15">
        <f t="shared" si="1"/>
        <v>130.25585219566563</v>
      </c>
      <c r="Q15">
        <f t="shared" si="1"/>
        <v>119.04263675121109</v>
      </c>
      <c r="R15">
        <f t="shared" si="1"/>
        <v>107.82942130675656</v>
      </c>
      <c r="S15">
        <f t="shared" si="1"/>
        <v>99.16417866865045</v>
      </c>
      <c r="T15">
        <f t="shared" si="1"/>
        <v>90.498936030544343</v>
      </c>
      <c r="U15">
        <f t="shared" si="1"/>
        <v>84.398172736595811</v>
      </c>
      <c r="V15">
        <f t="shared" si="1"/>
        <v>78.297409442647293</v>
      </c>
      <c r="W15">
        <f t="shared" si="1"/>
        <v>74.663291453275519</v>
      </c>
      <c r="X15">
        <f t="shared" si="1"/>
        <v>71.02917346390376</v>
      </c>
      <c r="Y15">
        <f t="shared" si="1"/>
        <v>69.666432104455396</v>
      </c>
      <c r="Z15">
        <f t="shared" si="1"/>
        <v>68.30369074500706</v>
      </c>
      <c r="AA15">
        <f t="shared" si="1"/>
        <v>68.938149627365163</v>
      </c>
      <c r="AB15">
        <f t="shared" si="1"/>
        <v>69.572608509723267</v>
      </c>
      <c r="AC15">
        <f t="shared" si="1"/>
        <v>71.869121950381626</v>
      </c>
      <c r="AD15">
        <f t="shared" si="1"/>
        <v>74.165635391039984</v>
      </c>
      <c r="AE15">
        <f t="shared" si="1"/>
        <v>77.744147724881117</v>
      </c>
      <c r="AF15">
        <f t="shared" si="1"/>
        <v>81.322660058722235</v>
      </c>
      <c r="AG15">
        <f t="shared" si="1"/>
        <v>85.771958500704045</v>
      </c>
      <c r="AH15">
        <f t="shared" si="1"/>
        <v>90.221256942685841</v>
      </c>
      <c r="AI15">
        <f t="shared" si="1"/>
        <v>95.11062847134292</v>
      </c>
    </row>
  </sheetData>
  <conditionalFormatting sqref="F13:AJ13">
    <cfRule type="colorScale" priority="1">
      <colorScale>
        <cfvo type="min" val="0"/>
        <cfvo type="percentile" val="50"/>
        <cfvo type="max" val="0"/>
        <color theme="4"/>
        <color rgb="FFFFEB84"/>
        <color rgb="FFFF0000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B3:AJ23"/>
  <sheetViews>
    <sheetView zoomScale="70" zoomScaleNormal="70" workbookViewId="0">
      <selection activeCell="B3" sqref="B3:AJ33"/>
    </sheetView>
  </sheetViews>
  <sheetFormatPr defaultRowHeight="14.4"/>
  <cols>
    <col min="3" max="3" width="10.44140625" bestFit="1" customWidth="1"/>
    <col min="6" max="6" width="11.44140625" bestFit="1" customWidth="1"/>
  </cols>
  <sheetData>
    <row r="3" spans="2:36">
      <c r="B3" s="2" t="s">
        <v>0</v>
      </c>
      <c r="C3" s="4">
        <v>0.1</v>
      </c>
    </row>
    <row r="4" spans="2:36">
      <c r="B4" s="2" t="s">
        <v>1</v>
      </c>
      <c r="C4" s="4">
        <f>C3/30</f>
        <v>3.3333333333333335E-3</v>
      </c>
    </row>
    <row r="5" spans="2:36">
      <c r="B5" s="2" t="s">
        <v>2</v>
      </c>
      <c r="C5" s="4">
        <f>(C9*C8*(C4^2))/(2*C10)</f>
        <v>0.4333333333333334</v>
      </c>
    </row>
    <row r="6" spans="2:36">
      <c r="B6" s="2" t="s">
        <v>3</v>
      </c>
      <c r="C6" s="4">
        <v>5000</v>
      </c>
      <c r="D6">
        <v>5000.2333333333345</v>
      </c>
    </row>
    <row r="7" spans="2:36">
      <c r="C7" s="1"/>
    </row>
    <row r="8" spans="2:36">
      <c r="B8" s="2" t="s">
        <v>4</v>
      </c>
      <c r="C8" s="5">
        <v>460</v>
      </c>
    </row>
    <row r="9" spans="2:36">
      <c r="B9" s="2" t="s">
        <v>5</v>
      </c>
      <c r="C9" s="5">
        <v>7800</v>
      </c>
    </row>
    <row r="10" spans="2:36">
      <c r="B10" s="2" t="s">
        <v>6</v>
      </c>
      <c r="C10" s="5">
        <v>46</v>
      </c>
    </row>
    <row r="11" spans="2:36">
      <c r="C11" s="1"/>
      <c r="F11" s="2">
        <v>1</v>
      </c>
      <c r="G11" s="2">
        <v>2</v>
      </c>
      <c r="H11" s="2">
        <v>3</v>
      </c>
      <c r="I11" s="2">
        <v>4</v>
      </c>
      <c r="J11" s="2">
        <v>5</v>
      </c>
      <c r="K11" s="2">
        <v>6</v>
      </c>
      <c r="L11" s="2">
        <v>7</v>
      </c>
      <c r="M11" s="2">
        <v>8</v>
      </c>
      <c r="N11" s="2">
        <v>9</v>
      </c>
      <c r="O11" s="2">
        <v>10</v>
      </c>
      <c r="P11" s="2">
        <v>11</v>
      </c>
      <c r="Q11" s="2">
        <v>12</v>
      </c>
      <c r="R11" s="2">
        <v>13</v>
      </c>
      <c r="S11" s="2">
        <v>14</v>
      </c>
      <c r="T11" s="2">
        <v>15</v>
      </c>
      <c r="U11" s="2">
        <v>16</v>
      </c>
      <c r="V11" s="2">
        <v>17</v>
      </c>
      <c r="W11" s="2">
        <v>18</v>
      </c>
      <c r="X11" s="2">
        <v>19</v>
      </c>
      <c r="Y11" s="2">
        <v>20</v>
      </c>
      <c r="Z11" s="2">
        <v>21</v>
      </c>
      <c r="AA11" s="2">
        <v>22</v>
      </c>
      <c r="AB11" s="2">
        <v>23</v>
      </c>
      <c r="AC11" s="2">
        <v>24</v>
      </c>
      <c r="AD11" s="2">
        <v>25</v>
      </c>
      <c r="AE11" s="2">
        <v>26</v>
      </c>
      <c r="AF11" s="2">
        <v>27</v>
      </c>
      <c r="AG11" s="2">
        <v>28</v>
      </c>
      <c r="AH11" s="2">
        <v>29</v>
      </c>
      <c r="AI11" s="2">
        <v>30</v>
      </c>
      <c r="AJ11" s="2">
        <v>31</v>
      </c>
    </row>
    <row r="12" spans="2:36">
      <c r="B12" s="2" t="s">
        <v>11</v>
      </c>
      <c r="C12" s="4">
        <v>92000</v>
      </c>
      <c r="E12" t="s">
        <v>0</v>
      </c>
      <c r="F12" s="3">
        <v>0</v>
      </c>
      <c r="G12" s="3">
        <f>F12+$C$4</f>
        <v>3.3333333333333335E-3</v>
      </c>
      <c r="H12" s="3">
        <f t="shared" ref="H12:AJ12" si="0">G12+$C$4</f>
        <v>6.6666666666666671E-3</v>
      </c>
      <c r="I12" s="3">
        <f t="shared" si="0"/>
        <v>0.01</v>
      </c>
      <c r="J12" s="3">
        <f t="shared" si="0"/>
        <v>1.3333333333333334E-2</v>
      </c>
      <c r="K12" s="3">
        <f t="shared" si="0"/>
        <v>1.6666666666666666E-2</v>
      </c>
      <c r="L12" s="3">
        <f t="shared" si="0"/>
        <v>0.02</v>
      </c>
      <c r="M12" s="3">
        <f t="shared" si="0"/>
        <v>2.3333333333333334E-2</v>
      </c>
      <c r="N12" s="3">
        <f t="shared" si="0"/>
        <v>2.6666666666666668E-2</v>
      </c>
      <c r="O12" s="3">
        <f t="shared" si="0"/>
        <v>3.0000000000000002E-2</v>
      </c>
      <c r="P12" s="3">
        <f t="shared" si="0"/>
        <v>3.3333333333333333E-2</v>
      </c>
      <c r="Q12" s="3">
        <f t="shared" si="0"/>
        <v>3.6666666666666667E-2</v>
      </c>
      <c r="R12" s="3">
        <f t="shared" si="0"/>
        <v>0.04</v>
      </c>
      <c r="S12" s="3">
        <f t="shared" si="0"/>
        <v>4.3333333333333335E-2</v>
      </c>
      <c r="T12" s="3">
        <f t="shared" si="0"/>
        <v>4.6666666666666669E-2</v>
      </c>
      <c r="U12" s="3">
        <f t="shared" si="0"/>
        <v>0.05</v>
      </c>
      <c r="V12" s="3">
        <f t="shared" si="0"/>
        <v>5.3333333333333337E-2</v>
      </c>
      <c r="W12" s="3">
        <f t="shared" si="0"/>
        <v>5.6666666666666671E-2</v>
      </c>
      <c r="X12" s="3">
        <f t="shared" si="0"/>
        <v>6.0000000000000005E-2</v>
      </c>
      <c r="Y12" s="3">
        <f t="shared" si="0"/>
        <v>6.3333333333333339E-2</v>
      </c>
      <c r="Z12" s="3">
        <f t="shared" si="0"/>
        <v>6.6666666666666666E-2</v>
      </c>
      <c r="AA12" s="3">
        <f t="shared" si="0"/>
        <v>6.9999999999999993E-2</v>
      </c>
      <c r="AB12" s="3">
        <f t="shared" si="0"/>
        <v>7.333333333333332E-2</v>
      </c>
      <c r="AC12" s="3">
        <f t="shared" si="0"/>
        <v>7.6666666666666647E-2</v>
      </c>
      <c r="AD12" s="3">
        <f t="shared" si="0"/>
        <v>7.9999999999999974E-2</v>
      </c>
      <c r="AE12" s="3">
        <f t="shared" si="0"/>
        <v>8.3333333333333301E-2</v>
      </c>
      <c r="AF12" s="3">
        <f t="shared" si="0"/>
        <v>8.6666666666666628E-2</v>
      </c>
      <c r="AG12" s="3">
        <f t="shared" si="0"/>
        <v>8.9999999999999955E-2</v>
      </c>
      <c r="AH12" s="3">
        <f t="shared" si="0"/>
        <v>9.3333333333333282E-2</v>
      </c>
      <c r="AI12" s="3">
        <f t="shared" si="0"/>
        <v>9.6666666666666609E-2</v>
      </c>
      <c r="AJ12" s="3">
        <f t="shared" si="0"/>
        <v>9.9999999999999936E-2</v>
      </c>
    </row>
    <row r="13" spans="2:36">
      <c r="B13" s="2" t="s">
        <v>9</v>
      </c>
      <c r="C13" s="4">
        <v>100</v>
      </c>
      <c r="E13" t="s">
        <v>7</v>
      </c>
      <c r="F13" s="1">
        <f>(F16/C10)*C4+G13</f>
        <v>299.99997763108735</v>
      </c>
      <c r="G13">
        <v>293.33331096442066</v>
      </c>
      <c r="H13">
        <v>286.6666443611611</v>
      </c>
      <c r="I13">
        <v>279.99997782112894</v>
      </c>
      <c r="J13">
        <v>273.33331134396514</v>
      </c>
      <c r="K13">
        <v>266.66664492913264</v>
      </c>
      <c r="L13">
        <v>259.99997857591751</v>
      </c>
      <c r="M13">
        <v>253.3333122834313</v>
      </c>
      <c r="N13">
        <v>246.66664605061328</v>
      </c>
      <c r="O13">
        <v>239.99997987623377</v>
      </c>
      <c r="P13">
        <v>233.33331375889719</v>
      </c>
      <c r="Q13">
        <v>226.66664769704656</v>
      </c>
      <c r="R13">
        <v>219.9999816889673</v>
      </c>
      <c r="S13">
        <v>213.33331573279273</v>
      </c>
      <c r="T13">
        <v>206.66664982650872</v>
      </c>
      <c r="U13">
        <v>199.99998396796005</v>
      </c>
      <c r="V13">
        <v>193.33331815485587</v>
      </c>
      <c r="W13">
        <v>186.6666523847768</v>
      </c>
      <c r="X13">
        <v>179.99998665518126</v>
      </c>
      <c r="Y13">
        <v>173.33332096341309</v>
      </c>
      <c r="Z13">
        <v>166.66665530670878</v>
      </c>
      <c r="AA13">
        <v>159.9999896822055</v>
      </c>
      <c r="AB13">
        <v>153.33332408694912</v>
      </c>
      <c r="AC13">
        <v>146.66665851790265</v>
      </c>
      <c r="AD13">
        <v>139.99999297195473</v>
      </c>
      <c r="AE13">
        <v>133.33332744592857</v>
      </c>
      <c r="AF13">
        <v>126.66666193659087</v>
      </c>
      <c r="AG13">
        <v>119.99999644066111</v>
      </c>
      <c r="AH13">
        <v>113.3333309548207</v>
      </c>
      <c r="AI13">
        <v>106.66666547572241</v>
      </c>
      <c r="AJ13">
        <v>100</v>
      </c>
    </row>
    <row r="15" spans="2:36">
      <c r="E15" t="s">
        <v>7</v>
      </c>
      <c r="G15">
        <f>G13+(($C$10*$C$5)/($C$9*$C$8))*((H13-2*G13+F13)/($C$4^2))</f>
        <v>293.33331099612423</v>
      </c>
      <c r="H15">
        <f t="shared" ref="H15:AI15" si="1">H13+(($C$10*$C$5)/($C$9*$C$8))*((I13-2*H13+G13)/($C$4^2))</f>
        <v>286.6666443927748</v>
      </c>
      <c r="I15">
        <f t="shared" si="1"/>
        <v>279.99997785256312</v>
      </c>
      <c r="J15">
        <f t="shared" si="1"/>
        <v>273.33331137513079</v>
      </c>
      <c r="K15">
        <f t="shared" si="1"/>
        <v>266.66664495994132</v>
      </c>
      <c r="L15">
        <f t="shared" si="1"/>
        <v>259.99997860628196</v>
      </c>
      <c r="M15">
        <f t="shared" si="1"/>
        <v>253.3333123132654</v>
      </c>
      <c r="N15">
        <f t="shared" si="1"/>
        <v>246.66664607983253</v>
      </c>
      <c r="O15">
        <f t="shared" si="1"/>
        <v>239.99997990475524</v>
      </c>
      <c r="P15">
        <f t="shared" si="1"/>
        <v>233.33331378664016</v>
      </c>
      <c r="Q15">
        <f t="shared" si="1"/>
        <v>226.66664772393224</v>
      </c>
      <c r="R15">
        <f t="shared" si="1"/>
        <v>219.99998171491964</v>
      </c>
      <c r="S15">
        <f t="shared" si="1"/>
        <v>213.33331575773801</v>
      </c>
      <c r="T15">
        <f t="shared" si="1"/>
        <v>206.66664985037639</v>
      </c>
      <c r="U15">
        <f t="shared" si="1"/>
        <v>199.9999839906823</v>
      </c>
      <c r="V15">
        <f t="shared" si="1"/>
        <v>193.33331817636844</v>
      </c>
      <c r="W15">
        <f t="shared" si="1"/>
        <v>186.66665240501857</v>
      </c>
      <c r="X15">
        <f t="shared" si="1"/>
        <v>179.99998667409494</v>
      </c>
      <c r="Y15">
        <f t="shared" si="1"/>
        <v>173.33332098094502</v>
      </c>
      <c r="Z15">
        <f t="shared" si="1"/>
        <v>166.66665532280928</v>
      </c>
      <c r="AA15">
        <f t="shared" si="1"/>
        <v>159.99998969682895</v>
      </c>
      <c r="AB15">
        <f t="shared" si="1"/>
        <v>153.33332410005409</v>
      </c>
      <c r="AC15">
        <f t="shared" si="1"/>
        <v>146.66665852945192</v>
      </c>
      <c r="AD15">
        <f t="shared" si="1"/>
        <v>139.99999298191563</v>
      </c>
      <c r="AE15">
        <f t="shared" si="1"/>
        <v>133.33332745427279</v>
      </c>
      <c r="AF15">
        <f t="shared" si="1"/>
        <v>126.66666194329484</v>
      </c>
      <c r="AG15">
        <f t="shared" si="1"/>
        <v>119.99999644570579</v>
      </c>
      <c r="AH15">
        <f t="shared" si="1"/>
        <v>113.33333095819177</v>
      </c>
      <c r="AI15">
        <f t="shared" si="1"/>
        <v>106.66666547741035</v>
      </c>
    </row>
    <row r="16" spans="2:36">
      <c r="E16" t="s">
        <v>12</v>
      </c>
      <c r="F16" s="6">
        <f>C12</f>
        <v>92000</v>
      </c>
      <c r="G16">
        <f>-$C$10*((G13-F13)/$C$4)</f>
        <v>92000.000000000247</v>
      </c>
      <c r="H16">
        <f t="shared" ref="H16:I16" si="2">-$C$10*((H13-G13)/$C$4)</f>
        <v>91999.999124981885</v>
      </c>
      <c r="I16">
        <f t="shared" si="2"/>
        <v>91999.998252443896</v>
      </c>
      <c r="J16">
        <f t="shared" ref="J16:AJ16" si="3">-$C$10*((J13-I13)/$C$4)</f>
        <v>91999.997384860442</v>
      </c>
      <c r="K16">
        <f t="shared" si="3"/>
        <v>91999.996524688366</v>
      </c>
      <c r="L16">
        <f t="shared" si="3"/>
        <v>91999.995674368853</v>
      </c>
      <c r="M16">
        <f t="shared" si="3"/>
        <v>91999.994836309721</v>
      </c>
      <c r="N16">
        <f t="shared" si="3"/>
        <v>91999.994012888623</v>
      </c>
      <c r="O16">
        <f t="shared" si="3"/>
        <v>91999.993206437299</v>
      </c>
      <c r="P16">
        <f t="shared" si="3"/>
        <v>91999.992419244736</v>
      </c>
      <c r="Q16">
        <f t="shared" si="3"/>
        <v>91999.991653538746</v>
      </c>
      <c r="R16">
        <f t="shared" si="3"/>
        <v>91999.990911493791</v>
      </c>
      <c r="S16">
        <f t="shared" si="3"/>
        <v>91999.990195209044</v>
      </c>
      <c r="T16">
        <f t="shared" si="3"/>
        <v>91999.989506719328</v>
      </c>
      <c r="U16">
        <f t="shared" si="3"/>
        <v>91999.988847971617</v>
      </c>
      <c r="V16">
        <f t="shared" si="3"/>
        <v>91999.988220837593</v>
      </c>
      <c r="W16">
        <f t="shared" si="3"/>
        <v>91999.987627091265</v>
      </c>
      <c r="X16">
        <f t="shared" si="3"/>
        <v>91999.987068418384</v>
      </c>
      <c r="Y16">
        <f t="shared" si="3"/>
        <v>91999.986546400789</v>
      </c>
      <c r="Z16">
        <f t="shared" si="3"/>
        <v>91999.986062519471</v>
      </c>
      <c r="AA16">
        <f t="shared" si="3"/>
        <v>91999.985618145278</v>
      </c>
      <c r="AB16">
        <f t="shared" si="3"/>
        <v>91999.985214537985</v>
      </c>
      <c r="AC16">
        <f t="shared" si="3"/>
        <v>91999.984852841313</v>
      </c>
      <c r="AD16">
        <f t="shared" si="3"/>
        <v>91999.984534081304</v>
      </c>
      <c r="AE16">
        <f t="shared" si="3"/>
        <v>91999.984259160876</v>
      </c>
      <c r="AF16">
        <f t="shared" si="3"/>
        <v>91999.984028860315</v>
      </c>
      <c r="AG16">
        <f t="shared" si="3"/>
        <v>91999.98384383072</v>
      </c>
      <c r="AH16">
        <f t="shared" si="3"/>
        <v>91999.983704597675</v>
      </c>
      <c r="AI16">
        <f t="shared" si="3"/>
        <v>91999.983611556323</v>
      </c>
      <c r="AJ16">
        <f t="shared" si="3"/>
        <v>91999.983564969269</v>
      </c>
    </row>
    <row r="23" spans="6:6">
      <c r="F23" t="s">
        <v>13</v>
      </c>
    </row>
  </sheetData>
  <conditionalFormatting sqref="F13:AJ13">
    <cfRule type="colorScale" priority="1">
      <colorScale>
        <cfvo type="min" val="0"/>
        <cfvo type="percentile" val="50"/>
        <cfvo type="max" val="0"/>
        <color theme="4"/>
        <color rgb="FFFFEB84"/>
        <color rgb="FFFF0000"/>
      </colorScale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B3:AJ23"/>
  <sheetViews>
    <sheetView tabSelected="1" zoomScale="70" zoomScaleNormal="70" workbookViewId="0">
      <selection activeCell="N32" sqref="N32"/>
    </sheetView>
  </sheetViews>
  <sheetFormatPr defaultRowHeight="14.4"/>
  <cols>
    <col min="3" max="3" width="9.44140625" bestFit="1" customWidth="1"/>
    <col min="6" max="6" width="9.33203125" bestFit="1" customWidth="1"/>
  </cols>
  <sheetData>
    <row r="3" spans="2:36">
      <c r="B3" s="2" t="s">
        <v>0</v>
      </c>
      <c r="C3" s="4">
        <v>0.1</v>
      </c>
    </row>
    <row r="4" spans="2:36">
      <c r="B4" s="2" t="s">
        <v>1</v>
      </c>
      <c r="C4" s="4">
        <f>C3/30</f>
        <v>3.3333333333333335E-3</v>
      </c>
    </row>
    <row r="5" spans="2:36">
      <c r="B5" s="2" t="s">
        <v>2</v>
      </c>
      <c r="C5" s="4">
        <f>(C9*C8*(C4^2))/(2*C10)</f>
        <v>0.4333333333333334</v>
      </c>
    </row>
    <row r="6" spans="2:36">
      <c r="B6" s="2" t="s">
        <v>3</v>
      </c>
      <c r="C6" s="5">
        <v>1760</v>
      </c>
      <c r="D6">
        <v>1760.2000000000003</v>
      </c>
    </row>
    <row r="7" spans="2:36">
      <c r="C7" s="1"/>
    </row>
    <row r="8" spans="2:36">
      <c r="B8" s="2" t="s">
        <v>4</v>
      </c>
      <c r="C8" s="5">
        <v>460</v>
      </c>
    </row>
    <row r="9" spans="2:36">
      <c r="B9" s="2" t="s">
        <v>5</v>
      </c>
      <c r="C9" s="5">
        <v>7800</v>
      </c>
    </row>
    <row r="10" spans="2:36">
      <c r="B10" s="2" t="s">
        <v>6</v>
      </c>
      <c r="C10" s="5">
        <v>46</v>
      </c>
    </row>
    <row r="11" spans="2:36">
      <c r="C11" s="1"/>
      <c r="F11" s="2">
        <v>1</v>
      </c>
      <c r="G11" s="2">
        <v>2</v>
      </c>
      <c r="H11" s="2">
        <v>3</v>
      </c>
      <c r="I11" s="2">
        <v>4</v>
      </c>
      <c r="J11" s="2">
        <v>5</v>
      </c>
      <c r="K11" s="2">
        <v>6</v>
      </c>
      <c r="L11" s="2">
        <v>7</v>
      </c>
      <c r="M11" s="2">
        <v>8</v>
      </c>
      <c r="N11" s="2">
        <v>9</v>
      </c>
      <c r="O11" s="2">
        <v>10</v>
      </c>
      <c r="P11" s="2">
        <v>11</v>
      </c>
      <c r="Q11" s="2">
        <v>12</v>
      </c>
      <c r="R11" s="2">
        <v>13</v>
      </c>
      <c r="S11" s="2">
        <v>14</v>
      </c>
      <c r="T11" s="2">
        <v>15</v>
      </c>
      <c r="U11" s="2">
        <v>16</v>
      </c>
      <c r="V11" s="2">
        <v>17</v>
      </c>
      <c r="W11" s="2">
        <v>18</v>
      </c>
      <c r="X11" s="2">
        <v>19</v>
      </c>
      <c r="Y11" s="2">
        <v>20</v>
      </c>
      <c r="Z11" s="2">
        <v>21</v>
      </c>
      <c r="AA11" s="2">
        <v>22</v>
      </c>
      <c r="AB11" s="2">
        <v>23</v>
      </c>
      <c r="AC11" s="2">
        <v>24</v>
      </c>
      <c r="AD11" s="2">
        <v>25</v>
      </c>
      <c r="AE11" s="2">
        <v>26</v>
      </c>
      <c r="AF11" s="2">
        <v>27</v>
      </c>
      <c r="AG11" s="2">
        <v>28</v>
      </c>
      <c r="AH11" s="2">
        <v>29</v>
      </c>
      <c r="AI11" s="2">
        <v>30</v>
      </c>
      <c r="AJ11" s="2">
        <v>31</v>
      </c>
    </row>
    <row r="12" spans="2:36">
      <c r="B12" s="2" t="s">
        <v>11</v>
      </c>
      <c r="C12" s="5">
        <v>92000</v>
      </c>
      <c r="E12" t="s">
        <v>0</v>
      </c>
      <c r="F12" s="3">
        <v>0</v>
      </c>
      <c r="G12" s="3">
        <f>F12+$C$4</f>
        <v>3.3333333333333335E-3</v>
      </c>
      <c r="H12" s="3">
        <f t="shared" ref="H12:AJ12" si="0">G12+$C$4</f>
        <v>6.6666666666666671E-3</v>
      </c>
      <c r="I12" s="3">
        <f t="shared" si="0"/>
        <v>0.01</v>
      </c>
      <c r="J12" s="3">
        <f t="shared" si="0"/>
        <v>1.3333333333333334E-2</v>
      </c>
      <c r="K12" s="3">
        <f t="shared" si="0"/>
        <v>1.6666666666666666E-2</v>
      </c>
      <c r="L12" s="3">
        <f t="shared" si="0"/>
        <v>0.02</v>
      </c>
      <c r="M12" s="3">
        <f t="shared" si="0"/>
        <v>2.3333333333333334E-2</v>
      </c>
      <c r="N12" s="3">
        <f t="shared" si="0"/>
        <v>2.6666666666666668E-2</v>
      </c>
      <c r="O12" s="3">
        <f t="shared" si="0"/>
        <v>3.0000000000000002E-2</v>
      </c>
      <c r="P12" s="3">
        <f t="shared" si="0"/>
        <v>3.3333333333333333E-2</v>
      </c>
      <c r="Q12" s="3">
        <f t="shared" si="0"/>
        <v>3.6666666666666667E-2</v>
      </c>
      <c r="R12" s="3">
        <f t="shared" si="0"/>
        <v>0.04</v>
      </c>
      <c r="S12" s="3">
        <f t="shared" si="0"/>
        <v>4.3333333333333335E-2</v>
      </c>
      <c r="T12" s="3">
        <f t="shared" si="0"/>
        <v>4.6666666666666669E-2</v>
      </c>
      <c r="U12" s="3">
        <f t="shared" si="0"/>
        <v>0.05</v>
      </c>
      <c r="V12" s="3">
        <f t="shared" si="0"/>
        <v>5.3333333333333337E-2</v>
      </c>
      <c r="W12" s="3">
        <f t="shared" si="0"/>
        <v>5.6666666666666671E-2</v>
      </c>
      <c r="X12" s="3">
        <f t="shared" si="0"/>
        <v>6.0000000000000005E-2</v>
      </c>
      <c r="Y12" s="3">
        <f t="shared" si="0"/>
        <v>6.3333333333333339E-2</v>
      </c>
      <c r="Z12" s="3">
        <f t="shared" si="0"/>
        <v>6.6666666666666666E-2</v>
      </c>
      <c r="AA12" s="3">
        <f t="shared" si="0"/>
        <v>6.9999999999999993E-2</v>
      </c>
      <c r="AB12" s="3">
        <f t="shared" si="0"/>
        <v>7.333333333333332E-2</v>
      </c>
      <c r="AC12" s="3">
        <f t="shared" si="0"/>
        <v>7.6666666666666647E-2</v>
      </c>
      <c r="AD12" s="3">
        <f t="shared" si="0"/>
        <v>7.9999999999999974E-2</v>
      </c>
      <c r="AE12" s="3">
        <f t="shared" si="0"/>
        <v>8.3333333333333301E-2</v>
      </c>
      <c r="AF12" s="3">
        <f t="shared" si="0"/>
        <v>8.6666666666666628E-2</v>
      </c>
      <c r="AG12" s="3">
        <f t="shared" si="0"/>
        <v>8.9999999999999955E-2</v>
      </c>
      <c r="AH12" s="3">
        <f t="shared" si="0"/>
        <v>9.3333333333333282E-2</v>
      </c>
      <c r="AI12" s="3">
        <f t="shared" si="0"/>
        <v>9.6666666666666609E-2</v>
      </c>
      <c r="AJ12" s="3">
        <f t="shared" si="0"/>
        <v>9.9999999999999936E-2</v>
      </c>
    </row>
    <row r="13" spans="2:36">
      <c r="B13" s="2" t="s">
        <v>9</v>
      </c>
      <c r="C13" s="4">
        <v>100</v>
      </c>
      <c r="E13" t="s">
        <v>7</v>
      </c>
      <c r="F13" s="1">
        <v>300</v>
      </c>
      <c r="G13">
        <v>293.33333332795451</v>
      </c>
      <c r="H13">
        <v>286.66666665590907</v>
      </c>
      <c r="I13">
        <v>279.99999998409874</v>
      </c>
      <c r="J13">
        <v>273.33333331228835</v>
      </c>
      <c r="K13">
        <v>266.66666664093788</v>
      </c>
      <c r="L13">
        <v>259.99999996958741</v>
      </c>
      <c r="M13">
        <v>253.33333329890152</v>
      </c>
      <c r="N13">
        <v>246.66666662821564</v>
      </c>
      <c r="O13">
        <v>239.99999995836998</v>
      </c>
      <c r="P13">
        <v>233.33333328852433</v>
      </c>
      <c r="Q13">
        <v>226.66666661965786</v>
      </c>
      <c r="R13">
        <v>219.99999995079142</v>
      </c>
      <c r="S13">
        <v>213.33333328300029</v>
      </c>
      <c r="T13">
        <v>206.66666661520912</v>
      </c>
      <c r="U13">
        <v>199.99999994854244</v>
      </c>
      <c r="V13">
        <v>193.33333328187578</v>
      </c>
      <c r="W13">
        <v>186.6666666163336</v>
      </c>
      <c r="X13">
        <v>179.99999995079139</v>
      </c>
      <c r="Y13">
        <v>173.33333328632452</v>
      </c>
      <c r="Z13">
        <v>166.66666662185764</v>
      </c>
      <c r="AA13">
        <v>159.99999995836998</v>
      </c>
      <c r="AB13">
        <v>153.33333329488229</v>
      </c>
      <c r="AC13">
        <v>146.66666663223486</v>
      </c>
      <c r="AD13">
        <v>139.99999996958741</v>
      </c>
      <c r="AE13">
        <v>133.33333330760456</v>
      </c>
      <c r="AF13">
        <v>126.66666664562172</v>
      </c>
      <c r="AG13">
        <v>119.99999998409875</v>
      </c>
      <c r="AH13">
        <v>113.33333332257578</v>
      </c>
      <c r="AI13">
        <v>106.66666666128789</v>
      </c>
      <c r="AJ13">
        <v>100</v>
      </c>
    </row>
    <row r="14" spans="2:36">
      <c r="B14" s="7" t="s">
        <v>15</v>
      </c>
      <c r="C14" s="7">
        <v>13800</v>
      </c>
    </row>
    <row r="15" spans="2:36">
      <c r="E15" t="s">
        <v>7</v>
      </c>
      <c r="G15">
        <f>G13+(($C$10*$C$5)/($C$9*$C$8))*((H13-2*G13+F13)/($C$4^2))</f>
        <v>293.33333332795451</v>
      </c>
      <c r="H15">
        <f t="shared" ref="H15:AI15" si="1">H13+(($C$10*$C$5)/($C$9*$C$8))*((I13-2*H13+G13)/($C$4^2))</f>
        <v>286.66666665602662</v>
      </c>
      <c r="I15">
        <f t="shared" si="1"/>
        <v>279.99999998409874</v>
      </c>
      <c r="J15">
        <f t="shared" si="1"/>
        <v>273.33333331251833</v>
      </c>
      <c r="K15">
        <f t="shared" si="1"/>
        <v>266.66666664093788</v>
      </c>
      <c r="L15">
        <f t="shared" si="1"/>
        <v>259.99999996991971</v>
      </c>
      <c r="M15">
        <f t="shared" si="1"/>
        <v>253.33333329890152</v>
      </c>
      <c r="N15">
        <f t="shared" si="1"/>
        <v>246.66666662863577</v>
      </c>
      <c r="O15">
        <f t="shared" si="1"/>
        <v>239.99999995836998</v>
      </c>
      <c r="P15">
        <f t="shared" si="1"/>
        <v>233.33333328901392</v>
      </c>
      <c r="Q15">
        <f t="shared" si="1"/>
        <v>226.66666661965786</v>
      </c>
      <c r="R15">
        <f t="shared" si="1"/>
        <v>219.99999995132907</v>
      </c>
      <c r="S15">
        <f t="shared" si="1"/>
        <v>213.33333328300029</v>
      </c>
      <c r="T15">
        <f t="shared" si="1"/>
        <v>206.66666661577136</v>
      </c>
      <c r="U15">
        <f t="shared" si="1"/>
        <v>199.99999994854244</v>
      </c>
      <c r="V15">
        <f t="shared" si="1"/>
        <v>193.33333328243802</v>
      </c>
      <c r="W15">
        <f t="shared" si="1"/>
        <v>186.6666666163336</v>
      </c>
      <c r="X15">
        <f t="shared" si="1"/>
        <v>179.99999995132907</v>
      </c>
      <c r="Y15">
        <f t="shared" si="1"/>
        <v>173.33333328632452</v>
      </c>
      <c r="Z15">
        <f t="shared" si="1"/>
        <v>166.66666662234724</v>
      </c>
      <c r="AA15">
        <f t="shared" si="1"/>
        <v>159.99999995836998</v>
      </c>
      <c r="AB15">
        <f t="shared" si="1"/>
        <v>153.33333329530242</v>
      </c>
      <c r="AC15">
        <f t="shared" si="1"/>
        <v>146.66666663223486</v>
      </c>
      <c r="AD15">
        <f t="shared" si="1"/>
        <v>139.99999996991971</v>
      </c>
      <c r="AE15">
        <f t="shared" si="1"/>
        <v>133.33333330760456</v>
      </c>
      <c r="AF15">
        <f t="shared" si="1"/>
        <v>126.66666664585165</v>
      </c>
      <c r="AG15">
        <f t="shared" si="1"/>
        <v>119.99999998409875</v>
      </c>
      <c r="AH15">
        <f t="shared" si="1"/>
        <v>113.33333332269332</v>
      </c>
      <c r="AI15">
        <f t="shared" si="1"/>
        <v>106.66666666128789</v>
      </c>
    </row>
    <row r="16" spans="2:36">
      <c r="E16" t="s">
        <v>12</v>
      </c>
      <c r="F16" s="6">
        <f>C12</f>
        <v>92000</v>
      </c>
      <c r="G16">
        <f>-$C$10*((G13-F13)/$C$4)</f>
        <v>92000.000074227806</v>
      </c>
      <c r="H16">
        <f t="shared" ref="H16:AJ16" si="2">-$C$10*((H13-G13)/$C$4)</f>
        <v>92000.00007422702</v>
      </c>
      <c r="I16">
        <f t="shared" si="2"/>
        <v>92000.000070982584</v>
      </c>
      <c r="J16">
        <f t="shared" si="2"/>
        <v>92000.000070983369</v>
      </c>
      <c r="K16">
        <f t="shared" si="2"/>
        <v>92000.000064636464</v>
      </c>
      <c r="L16">
        <f t="shared" si="2"/>
        <v>92000.000064636464</v>
      </c>
      <c r="M16">
        <f t="shared" si="2"/>
        <v>92000.000055465207</v>
      </c>
      <c r="N16">
        <f t="shared" si="2"/>
        <v>92000.000055465207</v>
      </c>
      <c r="O16">
        <f t="shared" si="2"/>
        <v>92000.000043870008</v>
      </c>
      <c r="P16">
        <f t="shared" si="2"/>
        <v>92000.000043870008</v>
      </c>
      <c r="Q16">
        <f t="shared" si="2"/>
        <v>92000.00003035726</v>
      </c>
      <c r="R16">
        <f t="shared" si="2"/>
        <v>92000.000030356881</v>
      </c>
      <c r="S16">
        <f t="shared" si="2"/>
        <v>92000.000015517639</v>
      </c>
      <c r="T16">
        <f t="shared" si="2"/>
        <v>92000.000015518031</v>
      </c>
      <c r="U16">
        <f t="shared" si="2"/>
        <v>92000.000000000247</v>
      </c>
      <c r="V16">
        <f t="shared" si="2"/>
        <v>91999.999999999869</v>
      </c>
      <c r="W16">
        <f t="shared" si="2"/>
        <v>91999.999984482085</v>
      </c>
      <c r="X16">
        <f t="shared" si="2"/>
        <v>91999.999984482478</v>
      </c>
      <c r="Y16">
        <f t="shared" si="2"/>
        <v>91999.999969642857</v>
      </c>
      <c r="Z16">
        <f t="shared" si="2"/>
        <v>91999.999969642857</v>
      </c>
      <c r="AA16">
        <f t="shared" si="2"/>
        <v>91999.999956129701</v>
      </c>
      <c r="AB16">
        <f t="shared" si="2"/>
        <v>91999.999956130108</v>
      </c>
      <c r="AC16">
        <f t="shared" si="2"/>
        <v>91999.999944534517</v>
      </c>
      <c r="AD16">
        <f t="shared" si="2"/>
        <v>91999.999944534909</v>
      </c>
      <c r="AE16">
        <f t="shared" si="2"/>
        <v>91999.999935363245</v>
      </c>
      <c r="AF16">
        <f t="shared" si="2"/>
        <v>91999.999935363245</v>
      </c>
      <c r="AG16">
        <f t="shared" si="2"/>
        <v>91999.999929016951</v>
      </c>
      <c r="AH16">
        <f t="shared" si="2"/>
        <v>91999.999929016951</v>
      </c>
      <c r="AI16">
        <f t="shared" si="2"/>
        <v>91999.999925772892</v>
      </c>
      <c r="AJ16">
        <f t="shared" si="2"/>
        <v>91999.999925772892</v>
      </c>
    </row>
    <row r="17" spans="5:36">
      <c r="E17" t="s">
        <v>14</v>
      </c>
      <c r="F17">
        <v>13800</v>
      </c>
      <c r="G17">
        <f>-$C$12/(G13-F13)</f>
        <v>13799.999988865828</v>
      </c>
      <c r="H17">
        <f t="shared" ref="H17:AJ17" si="3">-$C$12/(H13-G13)</f>
        <v>13799.999988865944</v>
      </c>
      <c r="I17">
        <f t="shared" si="3"/>
        <v>13799.999989352611</v>
      </c>
      <c r="J17">
        <f t="shared" si="3"/>
        <v>13799.999989352493</v>
      </c>
      <c r="K17">
        <f t="shared" si="3"/>
        <v>13799.999990304528</v>
      </c>
      <c r="L17">
        <f t="shared" si="3"/>
        <v>13799.999990304528</v>
      </c>
      <c r="M17">
        <f t="shared" si="3"/>
        <v>13799.999991680219</v>
      </c>
      <c r="N17">
        <f t="shared" si="3"/>
        <v>13799.999991680219</v>
      </c>
      <c r="O17">
        <f t="shared" si="3"/>
        <v>13799.999993419497</v>
      </c>
      <c r="P17">
        <f t="shared" si="3"/>
        <v>13799.999993419497</v>
      </c>
      <c r="Q17">
        <f t="shared" si="3"/>
        <v>13799.999995446409</v>
      </c>
      <c r="R17">
        <f t="shared" si="3"/>
        <v>13799.999995446467</v>
      </c>
      <c r="S17">
        <f t="shared" si="3"/>
        <v>13799.999997672354</v>
      </c>
      <c r="T17">
        <f t="shared" si="3"/>
        <v>13799.999997672294</v>
      </c>
      <c r="U17">
        <f t="shared" si="3"/>
        <v>13799.99999999996</v>
      </c>
      <c r="V17">
        <f t="shared" si="3"/>
        <v>13800.00000000002</v>
      </c>
      <c r="W17">
        <f t="shared" si="3"/>
        <v>13800.000002327686</v>
      </c>
      <c r="X17">
        <f t="shared" si="3"/>
        <v>13800.000002327628</v>
      </c>
      <c r="Y17">
        <f t="shared" si="3"/>
        <v>13800.000004553571</v>
      </c>
      <c r="Z17">
        <f t="shared" si="3"/>
        <v>13800.000004553571</v>
      </c>
      <c r="AA17">
        <f t="shared" si="3"/>
        <v>13800.000006580543</v>
      </c>
      <c r="AB17">
        <f t="shared" si="3"/>
        <v>13800.000006580483</v>
      </c>
      <c r="AC17">
        <f t="shared" si="3"/>
        <v>13800.000008319821</v>
      </c>
      <c r="AD17">
        <f t="shared" si="3"/>
        <v>13800.000008319763</v>
      </c>
      <c r="AE17">
        <f t="shared" si="3"/>
        <v>13800.000009695512</v>
      </c>
      <c r="AF17">
        <f t="shared" si="3"/>
        <v>13800.000009695512</v>
      </c>
      <c r="AG17">
        <f t="shared" si="3"/>
        <v>13800.000010647458</v>
      </c>
      <c r="AH17">
        <f t="shared" si="3"/>
        <v>13800.000010647458</v>
      </c>
      <c r="AI17">
        <f t="shared" si="3"/>
        <v>13800.000011134065</v>
      </c>
      <c r="AJ17">
        <f t="shared" si="3"/>
        <v>13800.000011134065</v>
      </c>
    </row>
    <row r="23" spans="5:36">
      <c r="F23" t="s">
        <v>13</v>
      </c>
    </row>
  </sheetData>
  <conditionalFormatting sqref="F13:AJ13">
    <cfRule type="colorScale" priority="1">
      <colorScale>
        <cfvo type="min" val="0"/>
        <cfvo type="percentile" val="50"/>
        <cfvo type="max" val="0"/>
        <color theme="4"/>
        <color rgb="FFFFEB84"/>
        <color rgb="FFFF0000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Александр Шаронов</dc:creator>
  <cp:lastModifiedBy>Александр Шаронов</cp:lastModifiedBy>
  <dcterms:created xsi:type="dcterms:W3CDTF">2021-02-19T10:02:37Z</dcterms:created>
  <dcterms:modified xsi:type="dcterms:W3CDTF">2021-03-03T16:40:32Z</dcterms:modified>
</cp:coreProperties>
</file>